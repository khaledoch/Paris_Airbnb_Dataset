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csv-to-postgres\excel\"/>
    </mc:Choice>
  </mc:AlternateContent>
  <xr:revisionPtr revIDLastSave="0" documentId="13_ncr:1_{FE4A381A-138F-43AE-97A5-AAB475181CC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Overview" sheetId="1" r:id="rId1"/>
    <sheet name="Neighborhood Revenue" sheetId="2" r:id="rId2"/>
    <sheet name="Listing Performance" sheetId="3" r:id="rId3"/>
    <sheet name="Host Insigh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2" l="1"/>
  <c r="D16" i="2"/>
  <c r="C16" i="2"/>
  <c r="B16" i="2"/>
</calcChain>
</file>

<file path=xl/sharedStrings.xml><?xml version="1.0" encoding="utf-8"?>
<sst xmlns="http://schemas.openxmlformats.org/spreadsheetml/2006/main" count="147" uniqueCount="97">
  <si>
    <t>Airbnb Paris — Market &amp; Revenue Analytics</t>
  </si>
  <si>
    <t>Pricing intelligence, geospatial performance, and host segmentation</t>
  </si>
  <si>
    <t>77,679</t>
  </si>
  <si>
    <t>28.3M</t>
  </si>
  <si>
    <t>62.5%</t>
  </si>
  <si>
    <t>10</t>
  </si>
  <si>
    <t>Listings Analyzed</t>
  </si>
  <si>
    <t>Calendar-Day Records</t>
  </si>
  <si>
    <t>Overall Occupancy Rate</t>
  </si>
  <si>
    <t>Neighborhoods Ranked</t>
  </si>
  <si>
    <t>How This Analysis Was Built</t>
  </si>
  <si>
    <t>Occupancy Rate</t>
  </si>
  <si>
    <t>Share of calendar nights marked unavailable — a proxy for demand, not a confirmed booking count.</t>
  </si>
  <si>
    <t>Revenue Proxy</t>
  </si>
  <si>
    <t>Occupied nights x nightly price. An estimate, since actual paid rates per stay aren't in the data.</t>
  </si>
  <si>
    <t>Data Scope</t>
  </si>
  <si>
    <t>Paris listings, calendar, and review records, cleaned to drop rows missing core fields.</t>
  </si>
  <si>
    <t>Pipeline</t>
  </si>
  <si>
    <t>PostgreSQL for staging and aggregation; Excel and Power BI for reporting.</t>
  </si>
  <si>
    <t>What's in This Workbook</t>
  </si>
  <si>
    <t>Neighborhood Revenue</t>
  </si>
  <si>
    <t>Top 10 Paris neighborhoods ranked by estimated revenue — where would an investor look first?</t>
  </si>
  <si>
    <t>Listing Performance</t>
  </si>
  <si>
    <t>Price, occupancy, and reviews by room and property type — which segments balance price and demand?</t>
  </si>
  <si>
    <t>Host Insights</t>
  </si>
  <si>
    <t>Superhost vs. regular host, compared on price, occupancy, reviews, and revenue.</t>
  </si>
  <si>
    <t>Prepared September 2026  |  Data source: Inside Airbnb-style scrape, Paris market</t>
  </si>
  <si>
    <t>Neighborhood Revenue Performance</t>
  </si>
  <si>
    <t>Top 10 Paris neighborhoods by estimated revenue proxy</t>
  </si>
  <si>
    <t>Neighborhood</t>
  </si>
  <si>
    <t>Listing Count</t>
  </si>
  <si>
    <t>Avg. Nightly Price</t>
  </si>
  <si>
    <t>Estimated Revenue Proxy</t>
  </si>
  <si>
    <t>Passy</t>
  </si>
  <si>
    <t>Vaugirard</t>
  </si>
  <si>
    <t>Buttes-Montmartre</t>
  </si>
  <si>
    <t>Popincourt</t>
  </si>
  <si>
    <t>Batignolles-Monceau</t>
  </si>
  <si>
    <t>Entrepot</t>
  </si>
  <si>
    <t>Temple</t>
  </si>
  <si>
    <t>Bourse</t>
  </si>
  <si>
    <t>Elysee</t>
  </si>
  <si>
    <t>Palais-Bourbon</t>
  </si>
  <si>
    <t>Total / Weighted Avg</t>
  </si>
  <si>
    <t>Key Insight</t>
  </si>
  <si>
    <t>Passy leads total estimated revenue despite mid-pack occupancy (52.65%), on the strength of the highest average nightly price in the top 10 ($481.65). Buttes-Montmartre and Popincourt post the strongest occupancy rates (69% and 68%) at more moderate prices — two distinct profiles: premium/lower-turnover neighborhoods versus high-demand/volume neighborhoods.</t>
  </si>
  <si>
    <t>Listing Performance by Segment</t>
  </si>
  <si>
    <t>Price and occupancy by room type, with a property-type detail view</t>
  </si>
  <si>
    <t>By Room Type</t>
  </si>
  <si>
    <t>Room Type</t>
  </si>
  <si>
    <t>Median Nightly Price</t>
  </si>
  <si>
    <t>Entire home/apt</t>
  </si>
  <si>
    <t>Private room</t>
  </si>
  <si>
    <t>Hotel room</t>
  </si>
  <si>
    <t>Shared room</t>
  </si>
  <si>
    <t>Room type has only four categories in this dataset; all 77,679 listings are represented above.</t>
  </si>
  <si>
    <t>By Property Type (segments with 15+ listings)</t>
  </si>
  <si>
    <t>Property Type</t>
  </si>
  <si>
    <t>Entire rental unit</t>
  </si>
  <si>
    <t>Private room in rental unit</t>
  </si>
  <si>
    <t>Entire condo</t>
  </si>
  <si>
    <t>Room in hotel</t>
  </si>
  <si>
    <t>Entire loft</t>
  </si>
  <si>
    <t>Private room in bed and breakfast</t>
  </si>
  <si>
    <t>Entire home</t>
  </si>
  <si>
    <t>Room in boutique hotel</t>
  </si>
  <si>
    <t>Private room in condo</t>
  </si>
  <si>
    <t>Entire serviced apartment</t>
  </si>
  <si>
    <t>Entire townhouse</t>
  </si>
  <si>
    <t>Private room in home</t>
  </si>
  <si>
    <t>Shared room in rental unit</t>
  </si>
  <si>
    <t>Private room in townhouse</t>
  </si>
  <si>
    <t>Room in aparthotel</t>
  </si>
  <si>
    <t>Private room in loft</t>
  </si>
  <si>
    <t>Private room in hostel</t>
  </si>
  <si>
    <t>Entire place</t>
  </si>
  <si>
    <t>Private room in guest suite</t>
  </si>
  <si>
    <t>Shared room in hotel</t>
  </si>
  <si>
    <t>Entire guest suite</t>
  </si>
  <si>
    <t>Private room in guesthouse</t>
  </si>
  <si>
    <t>Entire vacation home</t>
  </si>
  <si>
    <t>Entire guesthouse</t>
  </si>
  <si>
    <t>Entire villa</t>
  </si>
  <si>
    <t>Private room in serviced apartment</t>
  </si>
  <si>
    <t>Private room in casa particular</t>
  </si>
  <si>
    <t>Room in serviced apartment</t>
  </si>
  <si>
    <t>Tiny home</t>
  </si>
  <si>
    <t>All segments shown have at least 15 listings; smaller one-off categories (n &lt; 15) are excluded as not statistically reliable.</t>
  </si>
  <si>
    <t>Standard rental units make up the bulk of the market (65,070 listings) and price close to the overall average. Hotel-style rooms and boutique-hotel rooms command a premium ($400-$610/night) at lower occupancy, while entire villas price highest of all ($3,026/night) but on a small base of 20 listings and with the lowest occupancy in the table (31.6%) — a slow-turnover, premium niche rather than a volume segment.</t>
  </si>
  <si>
    <t>Superhost vs. Regular Host Performance</t>
  </si>
  <si>
    <t>Do superhosts really outperform regular hosts?</t>
  </si>
  <si>
    <t>Host Type</t>
  </si>
  <si>
    <t>Avg. Review Score</t>
  </si>
  <si>
    <t>Regular Host</t>
  </si>
  <si>
    <t>Superhost</t>
  </si>
  <si>
    <t>Host response rate was not populated for either group in the source data and is excluded here.</t>
  </si>
  <si>
    <t>Superhosts price slightly below regular hosts ($316.50 vs. $323.48 per night) yet earn meaningfully higher review scores (4.86 vs. 4.71). Regular hosts show higher occupancy (64.31% vs. 56.78%), which combined with a much larger base (60,099 vs. 17,320 listings) drives total estimated revenue. Superhosts appear to compete more on trust and service quality than on price or booking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</si>
</sst>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\%"/>
  </numFmts>
  <fonts count="12" x14ac:knownFonts="1">
    <font>
      <sz val="11"/>
      <color theme="1"/>
      <name val="Calibri"/>
      <family val="2"/>
      <charset val="1"/>
    </font>
    <font>
      <b/>
      <sz val="22"/>
      <color rgb="FF1F2A44"/>
      <name val="Arial"/>
      <family val="2"/>
    </font>
    <font>
      <b/>
      <sz val="13"/>
      <color rgb="FFC0392B"/>
      <name val="Arial"/>
      <family val="2"/>
    </font>
    <font>
      <b/>
      <sz val="20"/>
      <color rgb="FFFFFFFF"/>
      <name val="Arial"/>
      <family val="2"/>
    </font>
    <font>
      <sz val="10"/>
      <color rgb="FFD6DCE5"/>
      <name val="Arial"/>
      <family val="2"/>
    </font>
    <font>
      <b/>
      <sz val="14"/>
      <color rgb="FF1F2A44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C0392B"/>
      <name val="Arial"/>
      <family val="2"/>
    </font>
    <font>
      <i/>
      <sz val="9"/>
      <color rgb="FF888888"/>
      <name val="Arial"/>
      <family val="2"/>
    </font>
    <font>
      <b/>
      <sz val="11"/>
      <color rgb="FFFFFFFF"/>
      <name val="Arial"/>
      <family val="2"/>
    </font>
    <font>
      <b/>
      <sz val="11"/>
      <color rgb="FF1E844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392B"/>
        <bgColor rgb="FFC0504D"/>
      </patternFill>
    </fill>
    <fill>
      <patternFill patternType="solid">
        <fgColor rgb="FF1F2A44"/>
        <bgColor rgb="FF333333"/>
      </patternFill>
    </fill>
    <fill>
      <patternFill patternType="solid">
        <fgColor rgb="FF2C3E60"/>
        <bgColor rgb="FF333333"/>
      </patternFill>
    </fill>
    <fill>
      <patternFill patternType="solid">
        <fgColor rgb="FFF4F6F8"/>
        <bgColor rgb="FFF9F9F9"/>
      </patternFill>
    </fill>
    <fill>
      <patternFill patternType="solid">
        <fgColor rgb="FFE8EAED"/>
        <bgColor rgb="FFF4F6F8"/>
      </patternFill>
    </fill>
  </fills>
  <borders count="3">
    <border>
      <left/>
      <right/>
      <top/>
      <bottom/>
      <diagonal/>
    </border>
    <border>
      <left style="thin">
        <color rgb="FFD0D3D9"/>
      </left>
      <right style="thin">
        <color rgb="FFD0D3D9"/>
      </right>
      <top style="thin">
        <color rgb="FFD0D3D9"/>
      </top>
      <bottom style="thin">
        <color rgb="FFD0D3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5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/>
    <xf numFmtId="3" fontId="6" fillId="6" borderId="1" xfId="0" applyNumberFormat="1" applyFont="1" applyFill="1" applyBorder="1"/>
    <xf numFmtId="164" fontId="6" fillId="6" borderId="1" xfId="0" applyNumberFormat="1" applyFont="1" applyFill="1" applyBorder="1"/>
    <xf numFmtId="165" fontId="6" fillId="6" borderId="1" xfId="0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6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8EAED"/>
      <rgbColor rgb="FF660066"/>
      <rgbColor rgb="FFFF8080"/>
      <rgbColor rgb="FF0066CC"/>
      <rgbColor rgb="FFD0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6DCE5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88888"/>
      <rgbColor rgb="FF1F2A44"/>
      <rgbColor rgb="FF1E8449"/>
      <rgbColor rgb="FF003300"/>
      <rgbColor rgb="FF333300"/>
      <rgbColor rgb="FFC0392B"/>
      <rgbColor rgb="FF993366"/>
      <rgbColor rgb="FF2C3E6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Estimated Revenue Proxy by Neighborhood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'Neighborhood Revenue'!$E$5</c:f>
              <c:strCache>
                <c:ptCount val="1"/>
                <c:pt idx="0">
                  <c:v>Estimated Revenue Proxy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'Neighborhood Revenue'!$A$6:$A$15</c:f>
              <c:strCache>
                <c:ptCount val="10"/>
                <c:pt idx="0">
                  <c:v>Passy</c:v>
                </c:pt>
                <c:pt idx="1">
                  <c:v>Vaugirard</c:v>
                </c:pt>
                <c:pt idx="2">
                  <c:v>Buttes-Montmartre</c:v>
                </c:pt>
                <c:pt idx="3">
                  <c:v>Popincourt</c:v>
                </c:pt>
                <c:pt idx="4">
                  <c:v>Batignolles-Monceau</c:v>
                </c:pt>
                <c:pt idx="5">
                  <c:v>Entrepot</c:v>
                </c:pt>
                <c:pt idx="6">
                  <c:v>Temple</c:v>
                </c:pt>
                <c:pt idx="7">
                  <c:v>Bourse</c:v>
                </c:pt>
                <c:pt idx="8">
                  <c:v>Elysee</c:v>
                </c:pt>
                <c:pt idx="9">
                  <c:v>Palais-Bourbon</c:v>
                </c:pt>
              </c:strCache>
            </c:strRef>
          </c:cat>
          <c:val>
            <c:numRef>
              <c:f>'Neighborhood Revenue'!$E$6:$E$15</c:f>
              <c:numCache>
                <c:formatCode>\$#,##0.00</c:formatCode>
                <c:ptCount val="10"/>
                <c:pt idx="0">
                  <c:v>193593310.81</c:v>
                </c:pt>
                <c:pt idx="1">
                  <c:v>162254043.63</c:v>
                </c:pt>
                <c:pt idx="2">
                  <c:v>160864015.59999999</c:v>
                </c:pt>
                <c:pt idx="3">
                  <c:v>159519182.25999999</c:v>
                </c:pt>
                <c:pt idx="4">
                  <c:v>140673477.25999999</c:v>
                </c:pt>
                <c:pt idx="5">
                  <c:v>137138251.03999999</c:v>
                </c:pt>
                <c:pt idx="6">
                  <c:v>136665383.65000001</c:v>
                </c:pt>
                <c:pt idx="7">
                  <c:v>119213577.84</c:v>
                </c:pt>
                <c:pt idx="8">
                  <c:v>115764920.23</c:v>
                </c:pt>
                <c:pt idx="9">
                  <c:v>114626347.56999999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6-43DD-919F-E45B52621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78144"/>
        <c:axId val="9325912"/>
      </c:barChart>
      <c:catAx>
        <c:axId val="28878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Neighborhood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25912"/>
        <c:crosses val="autoZero"/>
        <c:auto val="1"/>
        <c:lblAlgn val="ctr"/>
        <c:lblOffset val="100"/>
        <c:noMultiLvlLbl val="0"/>
      </c:catAx>
      <c:valAx>
        <c:axId val="9325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Estimated Revenue Proxy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8781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Avg. Nightly Price by Room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'Listing Performance'!$C$6</c:f>
              <c:strCache>
                <c:ptCount val="1"/>
                <c:pt idx="0">
                  <c:v>Avg. Nightly Price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'Listing Performance'!$A$7:$A$10</c:f>
              <c:strCache>
                <c:ptCount val="4"/>
                <c:pt idx="0">
                  <c:v>Entire home/apt</c:v>
                </c:pt>
                <c:pt idx="1">
                  <c:v>Private room</c:v>
                </c:pt>
                <c:pt idx="2">
                  <c:v>Hotel room</c:v>
                </c:pt>
                <c:pt idx="3">
                  <c:v>Shared room</c:v>
                </c:pt>
              </c:strCache>
            </c:strRef>
          </c:cat>
          <c:val>
            <c:numRef>
              <c:f>'Listing Performance'!$C$7:$C$10</c:f>
              <c:numCache>
                <c:formatCode>\$#,##0.00</c:formatCode>
                <c:ptCount val="4"/>
                <c:pt idx="0">
                  <c:v>325.77</c:v>
                </c:pt>
                <c:pt idx="1">
                  <c:v>282.06</c:v>
                </c:pt>
                <c:pt idx="2">
                  <c:v>386.47</c:v>
                </c:pt>
                <c:pt idx="3">
                  <c:v>88.35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D-4AE9-8494-661369A0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17802"/>
        <c:axId val="31280040"/>
      </c:barChart>
      <c:catAx>
        <c:axId val="592178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80040"/>
        <c:crosses val="autoZero"/>
        <c:auto val="1"/>
        <c:lblAlgn val="ctr"/>
        <c:lblOffset val="100"/>
        <c:noMultiLvlLbl val="0"/>
      </c:catAx>
      <c:valAx>
        <c:axId val="31280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Avg. Nightly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217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Avg. Nightly Price: Superhost vs. Regular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'Host Insights'!$C$5</c:f>
              <c:strCache>
                <c:ptCount val="1"/>
                <c:pt idx="0">
                  <c:v>Avg. Nightly Price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'Host Insights'!$A$6:$A$7</c:f>
              <c:strCache>
                <c:ptCount val="2"/>
                <c:pt idx="0">
                  <c:v>Regular Host</c:v>
                </c:pt>
                <c:pt idx="1">
                  <c:v>Superhost</c:v>
                </c:pt>
              </c:strCache>
            </c:strRef>
          </c:cat>
          <c:val>
            <c:numRef>
              <c:f>'Host Insights'!$C$6:$C$7</c:f>
              <c:numCache>
                <c:formatCode>\$#,##0.00</c:formatCode>
                <c:ptCount val="2"/>
                <c:pt idx="0">
                  <c:v>323.48</c:v>
                </c:pt>
                <c:pt idx="1">
                  <c:v>316.5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5-451A-8088-76EFC9A9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25538"/>
        <c:axId val="65477695"/>
      </c:barChart>
      <c:catAx>
        <c:axId val="51625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77695"/>
        <c:crosses val="autoZero"/>
        <c:auto val="1"/>
        <c:lblAlgn val="ctr"/>
        <c:lblOffset val="100"/>
        <c:noMultiLvlLbl val="0"/>
      </c:catAx>
      <c:valAx>
        <c:axId val="65477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 per night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255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Avg. Review Score: Superhost vs. Regular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'Host Insights'!$D$5</c:f>
              <c:strCache>
                <c:ptCount val="1"/>
                <c:pt idx="0">
                  <c:v>Avg. Review Score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'Host Insights'!$A$6:$A$7</c:f>
              <c:strCache>
                <c:ptCount val="2"/>
                <c:pt idx="0">
                  <c:v>Regular Host</c:v>
                </c:pt>
                <c:pt idx="1">
                  <c:v>Superhost</c:v>
                </c:pt>
              </c:strCache>
            </c:strRef>
          </c:cat>
          <c:val>
            <c:numRef>
              <c:f>'Host Insights'!$D$6:$D$7</c:f>
              <c:numCache>
                <c:formatCode>0.00</c:formatCode>
                <c:ptCount val="2"/>
                <c:pt idx="0">
                  <c:v>4.71</c:v>
                </c:pt>
                <c:pt idx="1">
                  <c:v>4.8600000000000003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A-47BB-94BA-3FBC6C6D7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97244"/>
        <c:axId val="13115534"/>
      </c:barChart>
      <c:catAx>
        <c:axId val="35097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15534"/>
        <c:crosses val="autoZero"/>
        <c:auto val="1"/>
        <c:lblAlgn val="ctr"/>
        <c:lblOffset val="100"/>
        <c:noMultiLvlLbl val="0"/>
      </c:catAx>
      <c:valAx>
        <c:axId val="13115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Rating (out 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97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160560</xdr:rowOff>
    </xdr:from>
    <xdr:to>
      <xdr:col>6</xdr:col>
      <xdr:colOff>109020</xdr:colOff>
      <xdr:row>44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350520</xdr:colOff>
      <xdr:row>7</xdr:row>
      <xdr:rowOff>99061</xdr:rowOff>
    </xdr:from>
    <xdr:ext cx="4229100" cy="8153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B97F07-158D-683D-1276-974114492B81}"/>
            </a:ext>
          </a:extLst>
        </xdr:cNvPr>
        <xdr:cNvSpPr txBox="1"/>
      </xdr:nvSpPr>
      <xdr:spPr>
        <a:xfrm>
          <a:off x="10439400" y="1714501"/>
          <a:ext cx="4229100" cy="815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Note: this table includes all listings regardless of price data completeness. The Power BI dashboard and Python analysis exclude listings with null or zero price, so occupancy/revenue figures may differ by a few percentage points from other views in this project.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5</xdr:row>
      <xdr:rowOff>152340</xdr:rowOff>
    </xdr:from>
    <xdr:to>
      <xdr:col>12</xdr:col>
      <xdr:colOff>503880</xdr:colOff>
      <xdr:row>19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160920</xdr:rowOff>
    </xdr:from>
    <xdr:to>
      <xdr:col>3</xdr:col>
      <xdr:colOff>372600</xdr:colOff>
      <xdr:row>31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906780</xdr:colOff>
      <xdr:row>14</xdr:row>
      <xdr:rowOff>160920</xdr:rowOff>
    </xdr:from>
    <xdr:to>
      <xdr:col>7</xdr:col>
      <xdr:colOff>31440</xdr:colOff>
      <xdr:row>31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opLeftCell="A11" zoomScaleNormal="100" workbookViewId="0">
      <selection activeCell="M14" sqref="M14"/>
    </sheetView>
  </sheetViews>
  <sheetFormatPr defaultColWidth="8.6640625" defaultRowHeight="14.4" x14ac:dyDescent="0.3"/>
  <cols>
    <col min="1" max="1" width="22" customWidth="1"/>
    <col min="2" max="8" width="12" customWidth="1"/>
  </cols>
  <sheetData>
    <row r="1" spans="1:8" ht="31.5" customHeight="1" x14ac:dyDescent="0.5">
      <c r="A1" s="28" t="s">
        <v>0</v>
      </c>
      <c r="B1" s="28"/>
      <c r="C1" s="28"/>
      <c r="D1" s="28"/>
      <c r="E1" s="28"/>
      <c r="F1" s="28"/>
      <c r="G1" s="28"/>
      <c r="H1" s="28"/>
    </row>
    <row r="2" spans="1:8" ht="19.5" customHeight="1" x14ac:dyDescent="0.3">
      <c r="A2" s="29" t="s">
        <v>1</v>
      </c>
      <c r="B2" s="29"/>
      <c r="C2" s="29"/>
      <c r="D2" s="29"/>
      <c r="E2" s="29"/>
      <c r="F2" s="29"/>
      <c r="G2" s="29"/>
      <c r="H2" s="29"/>
    </row>
    <row r="3" spans="1:8" ht="3.75" customHeight="1" x14ac:dyDescent="0.3">
      <c r="A3" s="1"/>
      <c r="B3" s="1"/>
      <c r="C3" s="1"/>
      <c r="D3" s="1"/>
      <c r="E3" s="1"/>
      <c r="F3" s="1"/>
      <c r="G3" s="1"/>
      <c r="H3" s="1"/>
    </row>
    <row r="5" spans="1:8" ht="33.75" customHeight="1" x14ac:dyDescent="0.3">
      <c r="A5" s="30" t="s">
        <v>2</v>
      </c>
      <c r="B5" s="30"/>
      <c r="C5" s="30" t="s">
        <v>3</v>
      </c>
      <c r="D5" s="30"/>
      <c r="E5" s="30" t="s">
        <v>4</v>
      </c>
      <c r="F5" s="30"/>
      <c r="G5" s="30" t="s">
        <v>5</v>
      </c>
      <c r="H5" s="30"/>
    </row>
    <row r="6" spans="1:8" ht="19.5" customHeight="1" x14ac:dyDescent="0.3">
      <c r="A6" s="27" t="s">
        <v>6</v>
      </c>
      <c r="B6" s="27"/>
      <c r="C6" s="27" t="s">
        <v>7</v>
      </c>
      <c r="D6" s="27"/>
      <c r="E6" s="27" t="s">
        <v>8</v>
      </c>
      <c r="F6" s="27"/>
      <c r="G6" s="27" t="s">
        <v>9</v>
      </c>
      <c r="H6" s="27"/>
    </row>
    <row r="8" spans="1:8" ht="17.399999999999999" x14ac:dyDescent="0.3">
      <c r="A8" s="2" t="s">
        <v>10</v>
      </c>
    </row>
    <row r="9" spans="1:8" ht="49.5" customHeight="1" x14ac:dyDescent="0.3">
      <c r="A9" s="24" t="s">
        <v>11</v>
      </c>
      <c r="B9" s="26" t="s">
        <v>12</v>
      </c>
      <c r="C9" s="26"/>
      <c r="D9" s="26"/>
      <c r="E9" s="26"/>
      <c r="F9" s="26"/>
      <c r="G9" s="26"/>
      <c r="H9" s="26"/>
    </row>
    <row r="10" spans="1:8" ht="49.5" customHeight="1" x14ac:dyDescent="0.3">
      <c r="A10" s="24" t="s">
        <v>13</v>
      </c>
      <c r="B10" s="26" t="s">
        <v>14</v>
      </c>
      <c r="C10" s="26"/>
      <c r="D10" s="26"/>
      <c r="E10" s="26"/>
      <c r="F10" s="26"/>
      <c r="G10" s="26"/>
      <c r="H10" s="26"/>
    </row>
    <row r="11" spans="1:8" ht="49.5" customHeight="1" x14ac:dyDescent="0.3">
      <c r="A11" s="24" t="s">
        <v>15</v>
      </c>
      <c r="B11" s="26" t="s">
        <v>16</v>
      </c>
      <c r="C11" s="26"/>
      <c r="D11" s="26"/>
      <c r="E11" s="26"/>
      <c r="F11" s="26"/>
      <c r="G11" s="26"/>
      <c r="H11" s="26"/>
    </row>
    <row r="12" spans="1:8" ht="34.5" customHeight="1" x14ac:dyDescent="0.3">
      <c r="A12" s="24" t="s">
        <v>17</v>
      </c>
      <c r="B12" s="26" t="s">
        <v>18</v>
      </c>
      <c r="C12" s="26"/>
      <c r="D12" s="26"/>
      <c r="E12" s="26"/>
      <c r="F12" s="26"/>
      <c r="G12" s="26"/>
      <c r="H12" s="26"/>
    </row>
    <row r="14" spans="1:8" ht="17.399999999999999" x14ac:dyDescent="0.3">
      <c r="A14" s="2" t="s">
        <v>19</v>
      </c>
    </row>
    <row r="15" spans="1:8" ht="49.5" customHeight="1" x14ac:dyDescent="0.3">
      <c r="A15" s="25" t="s">
        <v>20</v>
      </c>
      <c r="B15" s="26" t="s">
        <v>21</v>
      </c>
      <c r="C15" s="26"/>
      <c r="D15" s="26"/>
      <c r="E15" s="26"/>
      <c r="F15" s="26"/>
      <c r="G15" s="26"/>
      <c r="H15" s="26"/>
    </row>
    <row r="16" spans="1:8" ht="49.5" customHeight="1" x14ac:dyDescent="0.3">
      <c r="A16" s="25" t="s">
        <v>22</v>
      </c>
      <c r="B16" s="26" t="s">
        <v>23</v>
      </c>
      <c r="C16" s="26"/>
      <c r="D16" s="26"/>
      <c r="E16" s="26"/>
      <c r="F16" s="26"/>
      <c r="G16" s="26"/>
      <c r="H16" s="26"/>
    </row>
    <row r="17" spans="1:8" ht="49.5" customHeight="1" x14ac:dyDescent="0.3">
      <c r="A17" s="25" t="s">
        <v>24</v>
      </c>
      <c r="B17" s="26" t="s">
        <v>25</v>
      </c>
      <c r="C17" s="26"/>
      <c r="D17" s="26"/>
      <c r="E17" s="26"/>
      <c r="F17" s="26"/>
      <c r="G17" s="26"/>
      <c r="H17" s="26"/>
    </row>
    <row r="20" spans="1:8" x14ac:dyDescent="0.3">
      <c r="A20" s="3" t="s">
        <v>26</v>
      </c>
    </row>
  </sheetData>
  <mergeCells count="17">
    <mergeCell ref="A1:H1"/>
    <mergeCell ref="A2:H2"/>
    <mergeCell ref="A5:B5"/>
    <mergeCell ref="C5:D5"/>
    <mergeCell ref="E5:F5"/>
    <mergeCell ref="G5:H5"/>
    <mergeCell ref="A6:B6"/>
    <mergeCell ref="C6:D6"/>
    <mergeCell ref="E6:F6"/>
    <mergeCell ref="G6:H6"/>
    <mergeCell ref="B9:H9"/>
    <mergeCell ref="B17:H17"/>
    <mergeCell ref="B10:H10"/>
    <mergeCell ref="B11:H11"/>
    <mergeCell ref="B12:H12"/>
    <mergeCell ref="B15:H15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showGridLines="0" tabSelected="1" topLeftCell="B1" zoomScaleNormal="100" workbookViewId="0">
      <selection activeCell="K18" sqref="K18"/>
    </sheetView>
  </sheetViews>
  <sheetFormatPr defaultColWidth="8.6640625" defaultRowHeight="14.4" x14ac:dyDescent="0.3"/>
  <cols>
    <col min="1" max="1" width="24" customWidth="1"/>
    <col min="2" max="2" width="17" customWidth="1"/>
    <col min="3" max="3" width="23" customWidth="1"/>
    <col min="4" max="4" width="18" customWidth="1"/>
    <col min="5" max="5" width="30.44140625" customWidth="1"/>
    <col min="9" max="10" width="8.6640625" customWidth="1"/>
    <col min="11" max="11" width="18.21875" customWidth="1"/>
  </cols>
  <sheetData>
    <row r="1" spans="1:5" ht="31.5" customHeight="1" x14ac:dyDescent="0.5">
      <c r="A1" s="28" t="s">
        <v>27</v>
      </c>
      <c r="B1" s="28"/>
      <c r="C1" s="28"/>
      <c r="D1" s="28"/>
      <c r="E1" s="28"/>
    </row>
    <row r="2" spans="1:5" ht="19.5" customHeight="1" x14ac:dyDescent="0.3">
      <c r="A2" s="29" t="s">
        <v>28</v>
      </c>
      <c r="B2" s="29"/>
      <c r="C2" s="29"/>
      <c r="D2" s="29"/>
      <c r="E2" s="29"/>
    </row>
    <row r="3" spans="1:5" ht="3.75" customHeight="1" x14ac:dyDescent="0.3">
      <c r="A3" s="1"/>
      <c r="B3" s="1"/>
      <c r="C3" s="1"/>
      <c r="D3" s="1"/>
      <c r="E3" s="1"/>
    </row>
    <row r="5" spans="1:5" ht="30" customHeight="1" x14ac:dyDescent="0.3">
      <c r="A5" s="4" t="s">
        <v>29</v>
      </c>
      <c r="B5" s="4" t="s">
        <v>30</v>
      </c>
      <c r="C5" s="4" t="s">
        <v>31</v>
      </c>
      <c r="D5" s="4" t="s">
        <v>11</v>
      </c>
      <c r="E5" s="4" t="s">
        <v>32</v>
      </c>
    </row>
    <row r="6" spans="1:5" x14ac:dyDescent="0.3">
      <c r="A6" s="5" t="s">
        <v>33</v>
      </c>
      <c r="B6" s="6">
        <v>4817</v>
      </c>
      <c r="C6" s="7">
        <v>481.65</v>
      </c>
      <c r="D6" s="8">
        <v>52.65</v>
      </c>
      <c r="E6" s="9">
        <v>193593310.81</v>
      </c>
    </row>
    <row r="7" spans="1:5" x14ac:dyDescent="0.3">
      <c r="A7" s="10" t="s">
        <v>34</v>
      </c>
      <c r="B7" s="11">
        <v>6224</v>
      </c>
      <c r="C7" s="12">
        <v>275.83</v>
      </c>
      <c r="D7" s="13">
        <v>63.78</v>
      </c>
      <c r="E7" s="12">
        <v>162254043.63</v>
      </c>
    </row>
    <row r="8" spans="1:5" x14ac:dyDescent="0.3">
      <c r="A8" s="5" t="s">
        <v>35</v>
      </c>
      <c r="B8" s="6">
        <v>8131</v>
      </c>
      <c r="C8" s="7">
        <v>239.91</v>
      </c>
      <c r="D8" s="8">
        <v>69.05</v>
      </c>
      <c r="E8" s="7">
        <v>160864015.59999999</v>
      </c>
    </row>
    <row r="9" spans="1:5" x14ac:dyDescent="0.3">
      <c r="A9" s="10" t="s">
        <v>36</v>
      </c>
      <c r="B9" s="11">
        <v>6899</v>
      </c>
      <c r="C9" s="12">
        <v>245.77</v>
      </c>
      <c r="D9" s="13">
        <v>67.739999999999995</v>
      </c>
      <c r="E9" s="12">
        <v>159519182.25999999</v>
      </c>
    </row>
    <row r="10" spans="1:5" x14ac:dyDescent="0.3">
      <c r="A10" s="5" t="s">
        <v>37</v>
      </c>
      <c r="B10" s="6">
        <v>5128</v>
      </c>
      <c r="C10" s="7">
        <v>328.05</v>
      </c>
      <c r="D10" s="8">
        <v>59.66</v>
      </c>
      <c r="E10" s="7">
        <v>140673477.25999999</v>
      </c>
    </row>
    <row r="11" spans="1:5" x14ac:dyDescent="0.3">
      <c r="A11" s="10" t="s">
        <v>38</v>
      </c>
      <c r="B11" s="11">
        <v>5330</v>
      </c>
      <c r="C11" s="12">
        <v>263.38</v>
      </c>
      <c r="D11" s="13">
        <v>66.319999999999993</v>
      </c>
      <c r="E11" s="12">
        <v>137138251.03999999</v>
      </c>
    </row>
    <row r="12" spans="1:5" x14ac:dyDescent="0.3">
      <c r="A12" s="5" t="s">
        <v>39</v>
      </c>
      <c r="B12" s="6">
        <v>3511</v>
      </c>
      <c r="C12" s="7">
        <v>355.91</v>
      </c>
      <c r="D12" s="8">
        <v>57.2</v>
      </c>
      <c r="E12" s="7">
        <v>136665383.65000001</v>
      </c>
    </row>
    <row r="13" spans="1:5" x14ac:dyDescent="0.3">
      <c r="A13" s="10" t="s">
        <v>40</v>
      </c>
      <c r="B13" s="11">
        <v>2894</v>
      </c>
      <c r="C13" s="12">
        <v>402.91</v>
      </c>
      <c r="D13" s="13">
        <v>53.13</v>
      </c>
      <c r="E13" s="12">
        <v>119213577.84</v>
      </c>
    </row>
    <row r="14" spans="1:5" x14ac:dyDescent="0.3">
      <c r="A14" s="5" t="s">
        <v>41</v>
      </c>
      <c r="B14" s="6">
        <v>2569</v>
      </c>
      <c r="C14" s="7">
        <v>539.66999999999996</v>
      </c>
      <c r="D14" s="8">
        <v>47.72</v>
      </c>
      <c r="E14" s="7">
        <v>115764920.23</v>
      </c>
    </row>
    <row r="15" spans="1:5" x14ac:dyDescent="0.3">
      <c r="A15" s="10" t="s">
        <v>42</v>
      </c>
      <c r="B15" s="11">
        <v>2320</v>
      </c>
      <c r="C15" s="12">
        <v>527.59</v>
      </c>
      <c r="D15" s="13">
        <v>54.99</v>
      </c>
      <c r="E15" s="14">
        <v>114626347.56999999</v>
      </c>
    </row>
    <row r="16" spans="1:5" x14ac:dyDescent="0.3">
      <c r="A16" s="15" t="s">
        <v>43</v>
      </c>
      <c r="B16" s="16">
        <f>SUM(B6:B15)</f>
        <v>47823</v>
      </c>
      <c r="C16" s="17">
        <f>AVERAGE(C6:C15)</f>
        <v>366.06700000000001</v>
      </c>
      <c r="D16" s="18">
        <f>AVERAGE(D6:D15)</f>
        <v>59.224000000000004</v>
      </c>
      <c r="E16" s="17">
        <f>SUM(E6:E15)</f>
        <v>1440312509.8899999</v>
      </c>
    </row>
    <row r="18" spans="1:5" ht="9" customHeight="1" x14ac:dyDescent="0.3"/>
    <row r="19" spans="1:5" ht="17.399999999999999" x14ac:dyDescent="0.3">
      <c r="A19" s="2" t="s">
        <v>44</v>
      </c>
    </row>
    <row r="20" spans="1:5" ht="15" customHeight="1" x14ac:dyDescent="0.3">
      <c r="A20" s="31" t="s">
        <v>45</v>
      </c>
      <c r="B20" s="31"/>
      <c r="C20" s="31"/>
      <c r="D20" s="31"/>
      <c r="E20" s="31"/>
    </row>
    <row r="21" spans="1:5" x14ac:dyDescent="0.3">
      <c r="A21" s="31"/>
      <c r="B21" s="31"/>
      <c r="C21" s="31"/>
      <c r="D21" s="31"/>
      <c r="E21" s="31"/>
    </row>
    <row r="22" spans="1:5" x14ac:dyDescent="0.3">
      <c r="A22" s="31"/>
      <c r="B22" s="31"/>
      <c r="C22" s="31"/>
      <c r="D22" s="31"/>
      <c r="E22" s="31"/>
    </row>
  </sheetData>
  <mergeCells count="3">
    <mergeCell ref="A1:E1"/>
    <mergeCell ref="A2:E2"/>
    <mergeCell ref="A20:E22"/>
  </mergeCells>
  <conditionalFormatting sqref="D6:D15">
    <cfRule type="colorScale" priority="2">
      <colorScale>
        <cfvo type="min"/>
        <cfvo type="percentile" val="50"/>
        <cfvo type="max"/>
        <color rgb="FFF1948A"/>
        <color rgb="FFFDEBD0"/>
        <color rgb="FFA9DFBF"/>
      </colorScale>
    </cfRule>
  </conditionalFormatting>
  <conditionalFormatting sqref="E6:E15">
    <cfRule type="dataBar" priority="3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{37EF936D-4226-4E27-B8F0-6AC06A2C596E}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EF936D-4226-4E27-B8F0-6AC06A2C596E}">
            <x14:dataBar axisPosition="none">
              <x14:cfvo type="min"/>
              <x14:cfvo type="max"/>
              <x14:negativeFillColor rgb="FF6FA8DC"/>
            </x14:dataBar>
          </x14:cfRule>
          <xm:sqref>E6:E15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showGridLines="0" topLeftCell="A27" zoomScaleNormal="100" workbookViewId="0">
      <selection activeCell="A49" sqref="A49"/>
    </sheetView>
  </sheetViews>
  <sheetFormatPr defaultColWidth="8.6640625" defaultRowHeight="14.4" x14ac:dyDescent="0.3"/>
  <cols>
    <col min="1" max="1" width="16" customWidth="1"/>
    <col min="2" max="2" width="33" customWidth="1"/>
    <col min="3" max="3" width="15" customWidth="1"/>
    <col min="4" max="5" width="20" customWidth="1"/>
    <col min="6" max="6" width="16" customWidth="1"/>
  </cols>
  <sheetData>
    <row r="1" spans="1:6" ht="31.5" customHeight="1" x14ac:dyDescent="0.5">
      <c r="A1" s="28" t="s">
        <v>46</v>
      </c>
      <c r="B1" s="28"/>
      <c r="C1" s="28"/>
      <c r="D1" s="28"/>
      <c r="E1" s="28"/>
      <c r="F1" s="28"/>
    </row>
    <row r="2" spans="1:6" ht="19.5" customHeight="1" x14ac:dyDescent="0.3">
      <c r="A2" s="29" t="s">
        <v>47</v>
      </c>
      <c r="B2" s="29"/>
      <c r="C2" s="29"/>
      <c r="D2" s="29"/>
      <c r="E2" s="29"/>
      <c r="F2" s="29"/>
    </row>
    <row r="3" spans="1:6" ht="3.75" customHeight="1" x14ac:dyDescent="0.3">
      <c r="A3" s="1"/>
      <c r="B3" s="1"/>
      <c r="C3" s="1"/>
      <c r="D3" s="1"/>
      <c r="E3" s="1"/>
      <c r="F3" s="1"/>
    </row>
    <row r="5" spans="1:6" ht="17.399999999999999" x14ac:dyDescent="0.3">
      <c r="A5" s="2" t="s">
        <v>48</v>
      </c>
    </row>
    <row r="6" spans="1:6" ht="30" customHeight="1" x14ac:dyDescent="0.3">
      <c r="A6" s="4" t="s">
        <v>49</v>
      </c>
      <c r="B6" s="4" t="s">
        <v>30</v>
      </c>
      <c r="C6" s="4" t="s">
        <v>31</v>
      </c>
      <c r="D6" s="4" t="s">
        <v>50</v>
      </c>
      <c r="E6" s="4" t="s">
        <v>11</v>
      </c>
    </row>
    <row r="7" spans="1:6" x14ac:dyDescent="0.3">
      <c r="A7" s="5" t="s">
        <v>51</v>
      </c>
      <c r="B7" s="6">
        <v>69265</v>
      </c>
      <c r="C7" s="7">
        <v>325.77</v>
      </c>
      <c r="D7" s="7">
        <v>212.67</v>
      </c>
      <c r="E7" s="8">
        <v>62.26</v>
      </c>
    </row>
    <row r="8" spans="1:6" x14ac:dyDescent="0.3">
      <c r="A8" s="10" t="s">
        <v>52</v>
      </c>
      <c r="B8" s="11">
        <v>7858</v>
      </c>
      <c r="C8" s="12">
        <v>282.06</v>
      </c>
      <c r="D8" s="12">
        <v>137</v>
      </c>
      <c r="E8" s="13">
        <v>65.959999999999994</v>
      </c>
    </row>
    <row r="9" spans="1:6" x14ac:dyDescent="0.3">
      <c r="A9" s="5" t="s">
        <v>53</v>
      </c>
      <c r="B9" s="6">
        <v>410</v>
      </c>
      <c r="C9" s="7">
        <v>386.47</v>
      </c>
      <c r="D9" s="7">
        <v>297.5</v>
      </c>
      <c r="E9" s="8">
        <v>48.09</v>
      </c>
    </row>
    <row r="10" spans="1:6" x14ac:dyDescent="0.3">
      <c r="A10" s="10" t="s">
        <v>54</v>
      </c>
      <c r="B10" s="11">
        <v>146</v>
      </c>
      <c r="C10" s="12">
        <v>88.35</v>
      </c>
      <c r="D10" s="12">
        <v>66</v>
      </c>
      <c r="E10" s="13">
        <v>53.42</v>
      </c>
    </row>
    <row r="11" spans="1:6" x14ac:dyDescent="0.3">
      <c r="A11" s="3" t="s">
        <v>55</v>
      </c>
    </row>
    <row r="13" spans="1:6" ht="17.399999999999999" x14ac:dyDescent="0.3">
      <c r="A13" s="2" t="s">
        <v>56</v>
      </c>
    </row>
    <row r="14" spans="1:6" ht="30" customHeight="1" x14ac:dyDescent="0.3">
      <c r="A14" s="4" t="s">
        <v>49</v>
      </c>
      <c r="B14" s="4" t="s">
        <v>57</v>
      </c>
      <c r="C14" s="4" t="s">
        <v>30</v>
      </c>
      <c r="D14" s="4" t="s">
        <v>31</v>
      </c>
      <c r="E14" s="4" t="s">
        <v>50</v>
      </c>
      <c r="F14" s="4" t="s">
        <v>11</v>
      </c>
    </row>
    <row r="15" spans="1:6" x14ac:dyDescent="0.3">
      <c r="A15" s="5" t="s">
        <v>51</v>
      </c>
      <c r="B15" s="19" t="s">
        <v>58</v>
      </c>
      <c r="C15" s="6">
        <v>65070</v>
      </c>
      <c r="D15" s="7">
        <v>315.56</v>
      </c>
      <c r="E15" s="7">
        <v>210</v>
      </c>
      <c r="F15" s="8">
        <v>62.26</v>
      </c>
    </row>
    <row r="16" spans="1:6" x14ac:dyDescent="0.3">
      <c r="A16" s="10" t="s">
        <v>52</v>
      </c>
      <c r="B16" s="20" t="s">
        <v>59</v>
      </c>
      <c r="C16" s="11">
        <v>5100</v>
      </c>
      <c r="D16" s="12">
        <v>184.94</v>
      </c>
      <c r="E16" s="12">
        <v>115</v>
      </c>
      <c r="F16" s="13">
        <v>72.38</v>
      </c>
    </row>
    <row r="17" spans="1:6" x14ac:dyDescent="0.3">
      <c r="A17" s="5" t="s">
        <v>51</v>
      </c>
      <c r="B17" s="19" t="s">
        <v>60</v>
      </c>
      <c r="C17" s="6">
        <v>2134</v>
      </c>
      <c r="D17" s="7">
        <v>323.29000000000002</v>
      </c>
      <c r="E17" s="7">
        <v>205</v>
      </c>
      <c r="F17" s="8">
        <v>66.02</v>
      </c>
    </row>
    <row r="18" spans="1:6" x14ac:dyDescent="0.3">
      <c r="A18" s="10" t="s">
        <v>52</v>
      </c>
      <c r="B18" s="20" t="s">
        <v>61</v>
      </c>
      <c r="C18" s="11">
        <v>1152</v>
      </c>
      <c r="D18" s="12">
        <v>609.67999999999995</v>
      </c>
      <c r="E18" s="12">
        <v>243</v>
      </c>
      <c r="F18" s="13">
        <v>43.59</v>
      </c>
    </row>
    <row r="19" spans="1:6" x14ac:dyDescent="0.3">
      <c r="A19" s="5" t="s">
        <v>51</v>
      </c>
      <c r="B19" s="19" t="s">
        <v>62</v>
      </c>
      <c r="C19" s="6">
        <v>839</v>
      </c>
      <c r="D19" s="7">
        <v>375.02</v>
      </c>
      <c r="E19" s="7">
        <v>286.5</v>
      </c>
      <c r="F19" s="8">
        <v>63.45</v>
      </c>
    </row>
    <row r="20" spans="1:6" x14ac:dyDescent="0.3">
      <c r="A20" s="10" t="s">
        <v>52</v>
      </c>
      <c r="B20" s="20" t="s">
        <v>63</v>
      </c>
      <c r="C20" s="11">
        <v>587</v>
      </c>
      <c r="D20" s="12">
        <v>172.27</v>
      </c>
      <c r="E20" s="12">
        <v>136.97</v>
      </c>
      <c r="F20" s="13">
        <v>58.71</v>
      </c>
    </row>
    <row r="21" spans="1:6" x14ac:dyDescent="0.3">
      <c r="A21" s="5" t="s">
        <v>51</v>
      </c>
      <c r="B21" s="19" t="s">
        <v>64</v>
      </c>
      <c r="C21" s="6">
        <v>479</v>
      </c>
      <c r="D21" s="7">
        <v>1115.1500000000001</v>
      </c>
      <c r="E21" s="7">
        <v>405.5</v>
      </c>
      <c r="F21" s="8">
        <v>55.94</v>
      </c>
    </row>
    <row r="22" spans="1:6" x14ac:dyDescent="0.3">
      <c r="A22" s="10" t="s">
        <v>53</v>
      </c>
      <c r="B22" s="20" t="s">
        <v>65</v>
      </c>
      <c r="C22" s="11">
        <v>320</v>
      </c>
      <c r="D22" s="12">
        <v>397</v>
      </c>
      <c r="E22" s="12">
        <v>324.5</v>
      </c>
      <c r="F22" s="13">
        <v>50.31</v>
      </c>
    </row>
    <row r="23" spans="1:6" x14ac:dyDescent="0.3">
      <c r="A23" s="5" t="s">
        <v>52</v>
      </c>
      <c r="B23" s="19" t="s">
        <v>66</v>
      </c>
      <c r="C23" s="6">
        <v>295</v>
      </c>
      <c r="D23" s="7">
        <v>225.4</v>
      </c>
      <c r="E23" s="7">
        <v>120.48</v>
      </c>
      <c r="F23" s="8">
        <v>72.33</v>
      </c>
    </row>
    <row r="24" spans="1:6" x14ac:dyDescent="0.3">
      <c r="A24" s="10" t="s">
        <v>52</v>
      </c>
      <c r="B24" s="20" t="s">
        <v>65</v>
      </c>
      <c r="C24" s="11">
        <v>279</v>
      </c>
      <c r="D24" s="12">
        <v>608.19000000000005</v>
      </c>
      <c r="E24" s="12">
        <v>466</v>
      </c>
      <c r="F24" s="13">
        <v>56.9</v>
      </c>
    </row>
    <row r="25" spans="1:6" x14ac:dyDescent="0.3">
      <c r="A25" s="5" t="s">
        <v>51</v>
      </c>
      <c r="B25" s="19" t="s">
        <v>67</v>
      </c>
      <c r="C25" s="6">
        <v>252</v>
      </c>
      <c r="D25" s="7">
        <v>418.42</v>
      </c>
      <c r="E25" s="7">
        <v>346.5</v>
      </c>
      <c r="F25" s="8">
        <v>48.64</v>
      </c>
    </row>
    <row r="26" spans="1:6" x14ac:dyDescent="0.3">
      <c r="A26" s="10" t="s">
        <v>51</v>
      </c>
      <c r="B26" s="20" t="s">
        <v>68</v>
      </c>
      <c r="C26" s="11">
        <v>238</v>
      </c>
      <c r="D26" s="12">
        <v>679.04</v>
      </c>
      <c r="E26" s="12">
        <v>382.29</v>
      </c>
      <c r="F26" s="13">
        <v>64.52</v>
      </c>
    </row>
    <row r="27" spans="1:6" x14ac:dyDescent="0.3">
      <c r="A27" s="5" t="s">
        <v>52</v>
      </c>
      <c r="B27" s="19" t="s">
        <v>69</v>
      </c>
      <c r="C27" s="6">
        <v>107</v>
      </c>
      <c r="D27" s="7">
        <v>224.04</v>
      </c>
      <c r="E27" s="7">
        <v>115</v>
      </c>
      <c r="F27" s="8">
        <v>61.51</v>
      </c>
    </row>
    <row r="28" spans="1:6" x14ac:dyDescent="0.3">
      <c r="A28" s="10" t="s">
        <v>54</v>
      </c>
      <c r="B28" s="20" t="s">
        <v>70</v>
      </c>
      <c r="C28" s="11">
        <v>82</v>
      </c>
      <c r="D28" s="12">
        <v>83.74</v>
      </c>
      <c r="E28" s="12">
        <v>55</v>
      </c>
      <c r="F28" s="13">
        <v>66.180000000000007</v>
      </c>
    </row>
    <row r="29" spans="1:6" x14ac:dyDescent="0.3">
      <c r="A29" s="5" t="s">
        <v>52</v>
      </c>
      <c r="B29" s="19" t="s">
        <v>71</v>
      </c>
      <c r="C29" s="6">
        <v>69</v>
      </c>
      <c r="D29" s="7">
        <v>180.63</v>
      </c>
      <c r="E29" s="7">
        <v>128.5</v>
      </c>
      <c r="F29" s="8">
        <v>61.4</v>
      </c>
    </row>
    <row r="30" spans="1:6" x14ac:dyDescent="0.3">
      <c r="A30" s="10" t="s">
        <v>51</v>
      </c>
      <c r="B30" s="20" t="s">
        <v>72</v>
      </c>
      <c r="C30" s="11">
        <v>68</v>
      </c>
      <c r="D30" s="12">
        <v>431.68</v>
      </c>
      <c r="E30" s="12">
        <v>335</v>
      </c>
      <c r="F30" s="13">
        <v>31.65</v>
      </c>
    </row>
    <row r="31" spans="1:6" x14ac:dyDescent="0.3">
      <c r="A31" s="5" t="s">
        <v>53</v>
      </c>
      <c r="B31" s="19" t="s">
        <v>61</v>
      </c>
      <c r="C31" s="6">
        <v>68</v>
      </c>
      <c r="D31" s="7">
        <v>245.74</v>
      </c>
      <c r="E31" s="7">
        <v>205.5</v>
      </c>
      <c r="F31" s="8">
        <v>38.270000000000003</v>
      </c>
    </row>
    <row r="32" spans="1:6" x14ac:dyDescent="0.3">
      <c r="A32" s="10" t="s">
        <v>52</v>
      </c>
      <c r="B32" s="20" t="s">
        <v>73</v>
      </c>
      <c r="C32" s="11">
        <v>62</v>
      </c>
      <c r="D32" s="12">
        <v>186.83</v>
      </c>
      <c r="E32" s="12">
        <v>156</v>
      </c>
      <c r="F32" s="13">
        <v>71.959999999999994</v>
      </c>
    </row>
    <row r="33" spans="1:6" x14ac:dyDescent="0.3">
      <c r="A33" s="5" t="s">
        <v>52</v>
      </c>
      <c r="B33" s="19" t="s">
        <v>74</v>
      </c>
      <c r="C33" s="6">
        <v>47</v>
      </c>
      <c r="D33" s="7">
        <v>320.77</v>
      </c>
      <c r="E33" s="7">
        <v>257</v>
      </c>
      <c r="F33" s="8">
        <v>42</v>
      </c>
    </row>
    <row r="34" spans="1:6" x14ac:dyDescent="0.3">
      <c r="A34" s="10" t="s">
        <v>51</v>
      </c>
      <c r="B34" s="20" t="s">
        <v>75</v>
      </c>
      <c r="C34" s="11">
        <v>45</v>
      </c>
      <c r="D34" s="12">
        <v>351.92</v>
      </c>
      <c r="E34" s="12">
        <v>230.5</v>
      </c>
      <c r="F34" s="13">
        <v>61.78</v>
      </c>
    </row>
    <row r="35" spans="1:6" x14ac:dyDescent="0.3">
      <c r="A35" s="5" t="s">
        <v>52</v>
      </c>
      <c r="B35" s="19" t="s">
        <v>76</v>
      </c>
      <c r="C35" s="6">
        <v>34</v>
      </c>
      <c r="D35" s="7">
        <v>172.82</v>
      </c>
      <c r="E35" s="7">
        <v>129.63</v>
      </c>
      <c r="F35" s="8">
        <v>62.84</v>
      </c>
    </row>
    <row r="36" spans="1:6" x14ac:dyDescent="0.3">
      <c r="A36" s="10" t="s">
        <v>54</v>
      </c>
      <c r="B36" s="20" t="s">
        <v>77</v>
      </c>
      <c r="C36" s="11">
        <v>33</v>
      </c>
      <c r="D36" s="14">
        <v>77.16</v>
      </c>
      <c r="E36" s="12">
        <v>70.5</v>
      </c>
      <c r="F36" s="13">
        <v>32.49</v>
      </c>
    </row>
    <row r="37" spans="1:6" x14ac:dyDescent="0.3">
      <c r="A37" s="5" t="s">
        <v>52</v>
      </c>
      <c r="B37" s="19" t="s">
        <v>52</v>
      </c>
      <c r="C37" s="6">
        <v>33</v>
      </c>
      <c r="D37" s="7">
        <v>196.63</v>
      </c>
      <c r="E37" s="7">
        <v>136</v>
      </c>
      <c r="F37" s="8">
        <v>68.7</v>
      </c>
    </row>
    <row r="38" spans="1:6" x14ac:dyDescent="0.3">
      <c r="A38" s="10" t="s">
        <v>51</v>
      </c>
      <c r="B38" s="20" t="s">
        <v>78</v>
      </c>
      <c r="C38" s="11">
        <v>29</v>
      </c>
      <c r="D38" s="12">
        <v>225.41</v>
      </c>
      <c r="E38" s="12">
        <v>172.33</v>
      </c>
      <c r="F38" s="13">
        <v>70.89</v>
      </c>
    </row>
    <row r="39" spans="1:6" x14ac:dyDescent="0.3">
      <c r="A39" s="5" t="s">
        <v>52</v>
      </c>
      <c r="B39" s="19" t="s">
        <v>79</v>
      </c>
      <c r="C39" s="6">
        <v>24</v>
      </c>
      <c r="D39" s="7">
        <v>176.59</v>
      </c>
      <c r="E39" s="7">
        <v>158.6</v>
      </c>
      <c r="F39" s="8">
        <v>59.09</v>
      </c>
    </row>
    <row r="40" spans="1:6" x14ac:dyDescent="0.3">
      <c r="A40" s="10" t="s">
        <v>51</v>
      </c>
      <c r="B40" s="20" t="s">
        <v>80</v>
      </c>
      <c r="C40" s="11">
        <v>23</v>
      </c>
      <c r="D40" s="12">
        <v>339.28</v>
      </c>
      <c r="E40" s="12">
        <v>198.84</v>
      </c>
      <c r="F40" s="13">
        <v>60.92</v>
      </c>
    </row>
    <row r="41" spans="1:6" x14ac:dyDescent="0.3">
      <c r="A41" s="5" t="s">
        <v>51</v>
      </c>
      <c r="B41" s="19" t="s">
        <v>81</v>
      </c>
      <c r="C41" s="6">
        <v>22</v>
      </c>
      <c r="D41" s="7">
        <v>227.62</v>
      </c>
      <c r="E41" s="7">
        <v>210.79</v>
      </c>
      <c r="F41" s="8">
        <v>53.5</v>
      </c>
    </row>
    <row r="42" spans="1:6" x14ac:dyDescent="0.3">
      <c r="A42" s="10" t="s">
        <v>51</v>
      </c>
      <c r="B42" s="20" t="s">
        <v>82</v>
      </c>
      <c r="C42" s="11">
        <v>20</v>
      </c>
      <c r="D42" s="21">
        <v>3026.14</v>
      </c>
      <c r="E42" s="12">
        <v>2026</v>
      </c>
      <c r="F42" s="13">
        <v>31.62</v>
      </c>
    </row>
    <row r="43" spans="1:6" x14ac:dyDescent="0.3">
      <c r="A43" s="5" t="s">
        <v>52</v>
      </c>
      <c r="B43" s="19" t="s">
        <v>83</v>
      </c>
      <c r="C43" s="6">
        <v>17</v>
      </c>
      <c r="D43" s="7">
        <v>265.5</v>
      </c>
      <c r="E43" s="7">
        <v>160</v>
      </c>
      <c r="F43" s="8">
        <v>49.27</v>
      </c>
    </row>
    <row r="44" spans="1:6" x14ac:dyDescent="0.3">
      <c r="A44" s="10" t="s">
        <v>52</v>
      </c>
      <c r="B44" s="20" t="s">
        <v>84</v>
      </c>
      <c r="C44" s="11">
        <v>17</v>
      </c>
      <c r="D44" s="12">
        <v>122</v>
      </c>
      <c r="E44" s="12">
        <v>111.75</v>
      </c>
      <c r="F44" s="13">
        <v>70.86</v>
      </c>
    </row>
    <row r="45" spans="1:6" x14ac:dyDescent="0.3">
      <c r="A45" s="5" t="s">
        <v>53</v>
      </c>
      <c r="B45" s="19" t="s">
        <v>85</v>
      </c>
      <c r="C45" s="6">
        <v>16</v>
      </c>
      <c r="D45" s="7">
        <v>833.72</v>
      </c>
      <c r="E45" s="7">
        <v>900</v>
      </c>
      <c r="F45" s="8">
        <v>42.29</v>
      </c>
    </row>
    <row r="46" spans="1:6" x14ac:dyDescent="0.3">
      <c r="A46" s="10" t="s">
        <v>51</v>
      </c>
      <c r="B46" s="20" t="s">
        <v>86</v>
      </c>
      <c r="C46" s="11">
        <v>16</v>
      </c>
      <c r="D46" s="12">
        <v>176.6</v>
      </c>
      <c r="E46" s="12">
        <v>171.5</v>
      </c>
      <c r="F46" s="13">
        <v>53.46</v>
      </c>
    </row>
    <row r="47" spans="1:6" x14ac:dyDescent="0.3">
      <c r="A47" s="3" t="s">
        <v>87</v>
      </c>
    </row>
    <row r="48" spans="1:6" ht="10.8" customHeight="1" x14ac:dyDescent="0.3"/>
    <row r="49" spans="1:6" ht="17.399999999999999" x14ac:dyDescent="0.3">
      <c r="A49" s="2" t="s">
        <v>44</v>
      </c>
    </row>
    <row r="50" spans="1:6" ht="15" customHeight="1" x14ac:dyDescent="0.3">
      <c r="A50" s="31" t="s">
        <v>88</v>
      </c>
      <c r="B50" s="31"/>
      <c r="C50" s="31"/>
      <c r="D50" s="31"/>
      <c r="E50" s="31"/>
      <c r="F50" s="31"/>
    </row>
    <row r="51" spans="1:6" x14ac:dyDescent="0.3">
      <c r="A51" s="31"/>
      <c r="B51" s="31"/>
      <c r="C51" s="31"/>
      <c r="D51" s="31"/>
      <c r="E51" s="31"/>
      <c r="F51" s="31"/>
    </row>
    <row r="52" spans="1:6" ht="28.8" customHeight="1" x14ac:dyDescent="0.3">
      <c r="A52" s="31"/>
      <c r="B52" s="31"/>
      <c r="C52" s="31"/>
      <c r="D52" s="31"/>
      <c r="E52" s="31"/>
      <c r="F52" s="31"/>
    </row>
  </sheetData>
  <mergeCells count="3">
    <mergeCell ref="A1:F1"/>
    <mergeCell ref="A2:F2"/>
    <mergeCell ref="A50:F52"/>
  </mergeCells>
  <conditionalFormatting sqref="C7:C10">
    <cfRule type="dataBar" priority="3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{F09A9DAE-C6F4-491F-A061-6931845FCF27}</x14:id>
        </ext>
      </extLst>
    </cfRule>
  </conditionalFormatting>
  <conditionalFormatting sqref="D15:D46">
    <cfRule type="dataBar" priority="5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{56F7CB52-BCFB-4D50-80B0-9EC56B758C59}</x14:id>
        </ext>
      </extLst>
    </cfRule>
  </conditionalFormatting>
  <conditionalFormatting sqref="E7:E10">
    <cfRule type="colorScale" priority="2">
      <colorScale>
        <cfvo type="min"/>
        <cfvo type="percentile" val="50"/>
        <cfvo type="max"/>
        <color rgb="FFF1948A"/>
        <color rgb="FFFDEBD0"/>
        <color rgb="FFA9DFBF"/>
      </colorScale>
    </cfRule>
  </conditionalFormatting>
  <conditionalFormatting sqref="F15:F46">
    <cfRule type="colorScale" priority="4">
      <colorScale>
        <cfvo type="min"/>
        <cfvo type="percentile" val="50"/>
        <cfvo type="max"/>
        <color rgb="FFF1948A"/>
        <color rgb="FFFDEBD0"/>
        <color rgb="FFA9DFBF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9A9DAE-C6F4-491F-A061-6931845FCF27}">
            <x14:dataBar axisPosition="none">
              <x14:cfvo type="min"/>
              <x14:cfvo type="max"/>
              <x14:negativeFillColor rgb="FF6FA8DC"/>
            </x14:dataBar>
          </x14:cfRule>
          <xm:sqref>C7:C10</xm:sqref>
        </x14:conditionalFormatting>
        <x14:conditionalFormatting xmlns:xm="http://schemas.microsoft.com/office/excel/2006/main">
          <x14:cfRule type="dataBar" id="{56F7CB52-BCFB-4D50-80B0-9EC56B758C59}">
            <x14:dataBar axisPosition="none">
              <x14:cfvo type="min"/>
              <x14:cfvo type="max"/>
              <x14:negativeFillColor rgb="FF6FA8DC"/>
            </x14:dataBar>
          </x14:cfRule>
          <xm:sqref>D15:D46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zoomScaleNormal="100" workbookViewId="0">
      <selection activeCell="J7" sqref="J7"/>
    </sheetView>
  </sheetViews>
  <sheetFormatPr defaultColWidth="8.6640625" defaultRowHeight="14.4" x14ac:dyDescent="0.3"/>
  <cols>
    <col min="1" max="1" width="16" customWidth="1"/>
    <col min="2" max="2" width="17" customWidth="1"/>
    <col min="3" max="3" width="23" customWidth="1"/>
    <col min="4" max="4" width="21" customWidth="1"/>
    <col min="5" max="5" width="18" customWidth="1"/>
    <col min="6" max="6" width="27" customWidth="1"/>
  </cols>
  <sheetData>
    <row r="1" spans="1:6" ht="31.5" customHeight="1" x14ac:dyDescent="0.5">
      <c r="A1" s="28" t="s">
        <v>89</v>
      </c>
      <c r="B1" s="28"/>
      <c r="C1" s="28"/>
      <c r="D1" s="28"/>
      <c r="E1" s="28"/>
      <c r="F1" s="28"/>
    </row>
    <row r="2" spans="1:6" ht="19.5" customHeight="1" x14ac:dyDescent="0.3">
      <c r="A2" s="29" t="s">
        <v>90</v>
      </c>
      <c r="B2" s="29"/>
      <c r="C2" s="29"/>
      <c r="D2" s="29"/>
      <c r="E2" s="29"/>
      <c r="F2" s="29"/>
    </row>
    <row r="3" spans="1:6" ht="3.75" customHeight="1" x14ac:dyDescent="0.3">
      <c r="A3" s="1"/>
      <c r="B3" s="1"/>
      <c r="C3" s="1"/>
      <c r="D3" s="1"/>
      <c r="E3" s="1"/>
      <c r="F3" s="1"/>
    </row>
    <row r="5" spans="1:6" ht="30" customHeight="1" x14ac:dyDescent="0.3">
      <c r="A5" s="4" t="s">
        <v>91</v>
      </c>
      <c r="B5" s="4" t="s">
        <v>30</v>
      </c>
      <c r="C5" s="4" t="s">
        <v>31</v>
      </c>
      <c r="D5" s="4" t="s">
        <v>92</v>
      </c>
      <c r="E5" s="4" t="s">
        <v>11</v>
      </c>
      <c r="F5" s="4" t="s">
        <v>32</v>
      </c>
    </row>
    <row r="6" spans="1:6" x14ac:dyDescent="0.3">
      <c r="A6" s="5" t="s">
        <v>93</v>
      </c>
      <c r="B6" s="6">
        <v>60099</v>
      </c>
      <c r="C6" s="7">
        <v>323.48</v>
      </c>
      <c r="D6" s="22">
        <v>4.71</v>
      </c>
      <c r="E6" s="8">
        <v>64.31</v>
      </c>
      <c r="F6" s="7">
        <v>1523000551.8499999</v>
      </c>
    </row>
    <row r="7" spans="1:6" x14ac:dyDescent="0.3">
      <c r="A7" s="10" t="s">
        <v>94</v>
      </c>
      <c r="B7" s="11">
        <v>17320</v>
      </c>
      <c r="C7" s="12">
        <v>316.5</v>
      </c>
      <c r="D7" s="23">
        <v>4.8600000000000003</v>
      </c>
      <c r="E7" s="13">
        <v>56.78</v>
      </c>
      <c r="F7" s="12">
        <v>722813319.63</v>
      </c>
    </row>
    <row r="8" spans="1:6" x14ac:dyDescent="0.3">
      <c r="A8" s="3" t="s">
        <v>95</v>
      </c>
    </row>
    <row r="10" spans="1:6" ht="17.399999999999999" x14ac:dyDescent="0.3">
      <c r="A10" s="2" t="s">
        <v>44</v>
      </c>
    </row>
    <row r="11" spans="1:6" ht="15" customHeight="1" x14ac:dyDescent="0.3">
      <c r="A11" s="31" t="s">
        <v>96</v>
      </c>
      <c r="B11" s="31"/>
      <c r="C11" s="31"/>
      <c r="D11" s="31"/>
      <c r="E11" s="31"/>
      <c r="F11" s="31"/>
    </row>
    <row r="12" spans="1:6" x14ac:dyDescent="0.3">
      <c r="A12" s="31"/>
      <c r="B12" s="31"/>
      <c r="C12" s="31"/>
      <c r="D12" s="31"/>
      <c r="E12" s="31"/>
      <c r="F12" s="31"/>
    </row>
    <row r="13" spans="1:6" x14ac:dyDescent="0.3">
      <c r="A13" s="31"/>
      <c r="B13" s="31"/>
      <c r="C13" s="31"/>
      <c r="D13" s="31"/>
      <c r="E13" s="31"/>
      <c r="F13" s="31"/>
    </row>
  </sheetData>
  <mergeCells count="3">
    <mergeCell ref="A1:F1"/>
    <mergeCell ref="A2:F2"/>
    <mergeCell ref="A11:F13"/>
  </mergeCells>
  <conditionalFormatting sqref="F6:F7">
    <cfRule type="dataBar" priority="2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{59D62691-29E9-4EFF-9068-BC597C5E68C5}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D62691-29E9-4EFF-9068-BC597C5E68C5}">
            <x14:dataBar axisPosition="none">
              <x14:cfvo type="min"/>
              <x14:cfvo type="max"/>
              <x14:negativeFillColor rgb="FF6FA8DC"/>
            </x14:dataBar>
          </x14:cfRule>
          <xm:sqref>F6:F7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Neighborhood Revenue</vt:lpstr>
      <vt:lpstr>Listing Performance</vt:lpstr>
      <vt:lpstr>Host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khaled</cp:lastModifiedBy>
  <cp:revision>1</cp:revision>
  <dcterms:created xsi:type="dcterms:W3CDTF">2026-09-05T11:57:52Z</dcterms:created>
  <dcterms:modified xsi:type="dcterms:W3CDTF">2026-09-05T17:20:05Z</dcterms:modified>
  <dc:language>en-US</dc:language>
</cp:coreProperties>
</file>